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A441E299-9394-4FF9-9282-D126E8F463E7}" xr6:coauthVersionLast="47" xr6:coauthVersionMax="47" xr10:uidLastSave="{00000000-0000-0000-0000-000000000000}"/>
  <bookViews>
    <workbookView xWindow="-108" yWindow="-108" windowWidth="23256" windowHeight="12456" xr2:uid="{3DAFB20B-B79B-45EB-9A4E-446EC6DC3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B28" i="1"/>
  <c r="B29" i="1"/>
  <c r="B30" i="1"/>
  <c r="B27" i="1"/>
  <c r="A1" i="1"/>
  <c r="A28" i="1"/>
  <c r="A29" i="1"/>
  <c r="A30" i="1"/>
  <c r="A27" i="1"/>
  <c r="B18" i="1"/>
  <c r="B19" i="1"/>
  <c r="B20" i="1"/>
  <c r="B17" i="1"/>
  <c r="A18" i="1"/>
  <c r="A19" i="1"/>
  <c r="A20" i="1"/>
  <c r="A17" i="1"/>
  <c r="A15" i="1"/>
  <c r="A8" i="1"/>
  <c r="A11" i="1"/>
  <c r="A12" i="1"/>
  <c r="A13" i="1"/>
  <c r="A10" i="1"/>
  <c r="B11" i="1"/>
  <c r="C11" i="1" s="1"/>
  <c r="B12" i="1"/>
  <c r="B13" i="1"/>
  <c r="B10" i="1"/>
  <c r="C18" i="1" l="1"/>
  <c r="C28" i="1"/>
</calcChain>
</file>

<file path=xl/sharedStrings.xml><?xml version="1.0" encoding="utf-8"?>
<sst xmlns="http://schemas.openxmlformats.org/spreadsheetml/2006/main" count="28" uniqueCount="25">
  <si>
    <t>Month</t>
  </si>
  <si>
    <t>Headcount Start</t>
  </si>
  <si>
    <t>New Hire</t>
  </si>
  <si>
    <t>Resigned</t>
  </si>
  <si>
    <t>January</t>
  </si>
  <si>
    <t>February</t>
  </si>
  <si>
    <t>March</t>
  </si>
  <si>
    <t>April</t>
  </si>
  <si>
    <t>Headcount End</t>
  </si>
  <si>
    <t>Net Growth</t>
  </si>
  <si>
    <t>Turnover Rate</t>
  </si>
  <si>
    <t>Which month has the highest net growth?</t>
  </si>
  <si>
    <t>Which month has highest headcount at the end?</t>
  </si>
  <si>
    <t>Which month has the highest turover rate?</t>
  </si>
  <si>
    <t>Which month would concern the most?</t>
  </si>
  <si>
    <t>March and April is the most I concern with, why?</t>
  </si>
  <si>
    <t>on march we see there are a lot new employee but why on april there are a lote resigned employee too</t>
  </si>
  <si>
    <t>we have to check it on that plant/department</t>
  </si>
  <si>
    <t>is there any issues with salary?</t>
  </si>
  <si>
    <t>or with their boss/leader?</t>
  </si>
  <si>
    <t>or the atmosfer on that department</t>
  </si>
  <si>
    <t>there are a lot reasons right?</t>
  </si>
  <si>
    <t>TR = Turnover Rate</t>
  </si>
  <si>
    <t>R = Resigned</t>
  </si>
  <si>
    <t>HS = Headcount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</si>
</sst>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0" xfId="0" applyAlignment="1"/>
    <xf numFmtId="0" fontId="1" fillId="0" borderId="0" xfId="0" applyFont="1"/>
    <xf numFmtId="0" fontId="1" fillId="0" borderId="0" xfId="0" applyFont="1" applyFill="1" applyBorder="1" applyAlignment="1">
      <alignment vertical="center"/>
    </xf>
    <xf numFmtId="172" fontId="0" fillId="0" borderId="1" xfId="0" applyNumberFormat="1" applyBorder="1"/>
    <xf numFmtId="2" fontId="0" fillId="0" borderId="0" xfId="0" applyNumberForma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82C9-60AF-42D1-A8C2-CAE960FFCC32}">
  <dimension ref="A1:D39"/>
  <sheetViews>
    <sheetView tabSelected="1" zoomScale="85" zoomScaleNormal="85" workbookViewId="0">
      <selection activeCell="J17" sqref="J17"/>
    </sheetView>
  </sheetViews>
  <sheetFormatPr defaultRowHeight="14.4" x14ac:dyDescent="0.3"/>
  <cols>
    <col min="2" max="2" width="15.44140625" customWidth="1"/>
  </cols>
  <sheetData>
    <row r="1" spans="1:4" ht="18.600000000000001" thickBot="1" x14ac:dyDescent="0.4">
      <c r="A1" s="16" t="str">
        <f>UPPER("Example data for turnover rate")</f>
        <v>EXAMPLE DATA FOR TURNOVER RATE</v>
      </c>
    </row>
    <row r="2" spans="1:4" ht="15" thickBot="1" x14ac:dyDescent="0.35">
      <c r="A2" s="5" t="s">
        <v>0</v>
      </c>
      <c r="B2" s="6" t="s">
        <v>1</v>
      </c>
      <c r="C2" s="6" t="s">
        <v>2</v>
      </c>
      <c r="D2" s="7" t="s">
        <v>3</v>
      </c>
    </row>
    <row r="3" spans="1:4" x14ac:dyDescent="0.3">
      <c r="A3" s="3" t="s">
        <v>4</v>
      </c>
      <c r="B3" s="4">
        <v>100</v>
      </c>
      <c r="C3" s="4">
        <v>5</v>
      </c>
      <c r="D3" s="4">
        <v>2</v>
      </c>
    </row>
    <row r="4" spans="1:4" x14ac:dyDescent="0.3">
      <c r="A4" s="1" t="s">
        <v>5</v>
      </c>
      <c r="B4" s="2">
        <v>103</v>
      </c>
      <c r="C4" s="2">
        <v>3</v>
      </c>
      <c r="D4" s="2">
        <v>4</v>
      </c>
    </row>
    <row r="5" spans="1:4" x14ac:dyDescent="0.3">
      <c r="A5" s="1" t="s">
        <v>6</v>
      </c>
      <c r="B5" s="2">
        <v>102</v>
      </c>
      <c r="C5" s="2">
        <v>8</v>
      </c>
      <c r="D5" s="2">
        <v>1</v>
      </c>
    </row>
    <row r="6" spans="1:4" x14ac:dyDescent="0.3">
      <c r="A6" s="1" t="s">
        <v>7</v>
      </c>
      <c r="B6" s="2">
        <v>109</v>
      </c>
      <c r="C6" s="2">
        <v>2</v>
      </c>
      <c r="D6" s="2">
        <v>6</v>
      </c>
    </row>
    <row r="8" spans="1:4" x14ac:dyDescent="0.3">
      <c r="A8" s="13" t="str">
        <f>UPPER("Headcount end")</f>
        <v>HEADCOUNT END</v>
      </c>
      <c r="B8" s="11"/>
    </row>
    <row r="9" spans="1:4" x14ac:dyDescent="0.3">
      <c r="A9" s="9" t="s">
        <v>0</v>
      </c>
      <c r="B9" s="10" t="s">
        <v>8</v>
      </c>
    </row>
    <row r="10" spans="1:4" x14ac:dyDescent="0.3">
      <c r="A10" s="8" t="str">
        <f>A3</f>
        <v>January</v>
      </c>
      <c r="B10" s="8">
        <f>B3+C3-D3</f>
        <v>103</v>
      </c>
      <c r="C10" s="12" t="s">
        <v>12</v>
      </c>
    </row>
    <row r="11" spans="1:4" x14ac:dyDescent="0.3">
      <c r="A11" s="8" t="str">
        <f>A4</f>
        <v>February</v>
      </c>
      <c r="B11" s="8">
        <f>B4+C4-D4</f>
        <v>102</v>
      </c>
      <c r="C11" s="12" t="str">
        <f>INDEX(A10:A13,MATCH(MAX(B10:B13),B10:B13,0))</f>
        <v>March</v>
      </c>
    </row>
    <row r="12" spans="1:4" x14ac:dyDescent="0.3">
      <c r="A12" s="8" t="str">
        <f>A5</f>
        <v>March</v>
      </c>
      <c r="B12" s="8">
        <f>B5+C5-D5</f>
        <v>109</v>
      </c>
    </row>
    <row r="13" spans="1:4" x14ac:dyDescent="0.3">
      <c r="A13" s="8" t="str">
        <f>A6</f>
        <v>April</v>
      </c>
      <c r="B13" s="8">
        <f>B6+C6-D6</f>
        <v>105</v>
      </c>
    </row>
    <row r="15" spans="1:4" x14ac:dyDescent="0.3">
      <c r="A15" s="12" t="str">
        <f>UPPER("Net Growth")</f>
        <v>NET GROWTH</v>
      </c>
    </row>
    <row r="16" spans="1:4" x14ac:dyDescent="0.3">
      <c r="A16" s="10" t="s">
        <v>0</v>
      </c>
      <c r="B16" s="10" t="s">
        <v>9</v>
      </c>
    </row>
    <row r="17" spans="1:3" x14ac:dyDescent="0.3">
      <c r="A17" s="8" t="str">
        <f>A3</f>
        <v>January</v>
      </c>
      <c r="B17" s="8">
        <f>C3-D3</f>
        <v>3</v>
      </c>
      <c r="C17" s="12" t="s">
        <v>11</v>
      </c>
    </row>
    <row r="18" spans="1:3" x14ac:dyDescent="0.3">
      <c r="A18" s="8" t="str">
        <f t="shared" ref="A18:A20" si="0">A4</f>
        <v>February</v>
      </c>
      <c r="B18" s="8">
        <f t="shared" ref="B18:B20" si="1">C4-D4</f>
        <v>-1</v>
      </c>
      <c r="C18" s="12" t="str">
        <f>INDEX(A17:A20,MATCH(MAX(B17:B20),B17:B20,0))</f>
        <v>March</v>
      </c>
    </row>
    <row r="19" spans="1:3" x14ac:dyDescent="0.3">
      <c r="A19" s="8" t="str">
        <f t="shared" si="0"/>
        <v>March</v>
      </c>
      <c r="B19" s="8">
        <f t="shared" si="1"/>
        <v>7</v>
      </c>
    </row>
    <row r="20" spans="1:3" x14ac:dyDescent="0.3">
      <c r="A20" s="8" t="str">
        <f t="shared" si="0"/>
        <v>April</v>
      </c>
      <c r="B20" s="8">
        <f t="shared" si="1"/>
        <v>-4</v>
      </c>
    </row>
    <row r="22" spans="1:3" x14ac:dyDescent="0.3">
      <c r="A22" s="12" t="str">
        <f>UPPER("turnover rate - TR = (R/HS)*100")</f>
        <v>TURNOVER RATE - TR = (R/HS)*100</v>
      </c>
      <c r="B22" s="12"/>
    </row>
    <row r="23" spans="1:3" x14ac:dyDescent="0.3">
      <c r="A23" t="s">
        <v>22</v>
      </c>
    </row>
    <row r="24" spans="1:3" x14ac:dyDescent="0.3">
      <c r="A24" t="s">
        <v>23</v>
      </c>
    </row>
    <row r="25" spans="1:3" x14ac:dyDescent="0.3">
      <c r="A25" t="s">
        <v>24</v>
      </c>
    </row>
    <row r="26" spans="1:3" x14ac:dyDescent="0.3">
      <c r="A26" s="10" t="s">
        <v>0</v>
      </c>
      <c r="B26" s="10" t="s">
        <v>10</v>
      </c>
      <c r="C26" s="15"/>
    </row>
    <row r="27" spans="1:3" x14ac:dyDescent="0.3">
      <c r="A27" s="8" t="str">
        <f>A3</f>
        <v>January</v>
      </c>
      <c r="B27" s="14">
        <f>(D3/B3)*100</f>
        <v>2</v>
      </c>
      <c r="C27" s="17" t="s">
        <v>13</v>
      </c>
    </row>
    <row r="28" spans="1:3" x14ac:dyDescent="0.3">
      <c r="A28" s="8" t="str">
        <f>A4</f>
        <v>February</v>
      </c>
      <c r="B28" s="14">
        <f>(D4/B4)*100</f>
        <v>3.8834951456310676</v>
      </c>
      <c r="C28" s="12" t="str">
        <f>INDEX(A27:A30,MATCH(MAX(B27:B30),B27:B30,0))</f>
        <v>April</v>
      </c>
    </row>
    <row r="29" spans="1:3" x14ac:dyDescent="0.3">
      <c r="A29" s="8" t="str">
        <f>A5</f>
        <v>March</v>
      </c>
      <c r="B29" s="14">
        <f>(D5/B5)*100</f>
        <v>0.98039215686274506</v>
      </c>
    </row>
    <row r="30" spans="1:3" x14ac:dyDescent="0.3">
      <c r="A30" s="8" t="str">
        <f>A6</f>
        <v>April</v>
      </c>
      <c r="B30" s="14">
        <f>(D6/B6)*100</f>
        <v>5.5045871559633035</v>
      </c>
    </row>
    <row r="32" spans="1:3" x14ac:dyDescent="0.3">
      <c r="A32" t="s">
        <v>14</v>
      </c>
    </row>
    <row r="33" spans="1:1" x14ac:dyDescent="0.3">
      <c r="A33" t="s">
        <v>15</v>
      </c>
    </row>
    <row r="34" spans="1:1" x14ac:dyDescent="0.3">
      <c r="A34" t="s">
        <v>16</v>
      </c>
    </row>
    <row r="35" spans="1:1" x14ac:dyDescent="0.3">
      <c r="A35" t="s">
        <v>17</v>
      </c>
    </row>
    <row r="36" spans="1:1" x14ac:dyDescent="0.3">
      <c r="A36" t="s">
        <v>18</v>
      </c>
    </row>
    <row r="37" spans="1:1" x14ac:dyDescent="0.3">
      <c r="A37" t="s">
        <v>19</v>
      </c>
    </row>
    <row r="38" spans="1:1" x14ac:dyDescent="0.3">
      <c r="A38" t="s">
        <v>20</v>
      </c>
    </row>
    <row r="39" spans="1:1" x14ac:dyDescent="0.3">
      <c r="A3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2026-06-22T04:35:59Z</dcterms:created>
  <dcterms:modified xsi:type="dcterms:W3CDTF">2026-06-22T05:17:28Z</dcterms:modified>
</cp:coreProperties>
</file>