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 ANALYS LEARNING\"/>
    </mc:Choice>
  </mc:AlternateContent>
  <xr:revisionPtr revIDLastSave="0" documentId="8_{CCD62D89-A630-4F9B-8A76-D1DBF512A945}" xr6:coauthVersionLast="47" xr6:coauthVersionMax="47" xr10:uidLastSave="{00000000-0000-0000-0000-000000000000}"/>
  <bookViews>
    <workbookView xWindow="-108" yWindow="-108" windowWidth="23256" windowHeight="12456" xr2:uid="{E10D641D-5731-4098-8FF0-1953AED5EA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27" i="1"/>
  <c r="C28" i="1"/>
  <c r="C29" i="1"/>
  <c r="C25" i="1"/>
  <c r="C18" i="1"/>
  <c r="C19" i="1"/>
  <c r="C20" i="1"/>
  <c r="C21" i="1"/>
  <c r="C17" i="1"/>
  <c r="D10" i="1"/>
  <c r="D11" i="1"/>
  <c r="D12" i="1"/>
  <c r="D13" i="1"/>
  <c r="D9" i="1"/>
  <c r="C10" i="1"/>
  <c r="C11" i="1"/>
  <c r="C12" i="1"/>
  <c r="C13" i="1"/>
  <c r="C9" i="1"/>
  <c r="C3" i="1"/>
  <c r="C4" i="1"/>
  <c r="C5" i="1"/>
  <c r="C2" i="1"/>
</calcChain>
</file>

<file path=xl/sharedStrings.xml><?xml version="1.0" encoding="utf-8"?>
<sst xmlns="http://schemas.openxmlformats.org/spreadsheetml/2006/main" count="72" uniqueCount="23">
  <si>
    <t>Employee</t>
  </si>
  <si>
    <t>Status</t>
  </si>
  <si>
    <t>John</t>
  </si>
  <si>
    <t>Active</t>
  </si>
  <si>
    <t>Sarah</t>
  </si>
  <si>
    <t>Mike</t>
  </si>
  <si>
    <t>Resigned</t>
  </si>
  <si>
    <t>Lisa</t>
  </si>
  <si>
    <t>Category</t>
  </si>
  <si>
    <t>Overtime Hours</t>
  </si>
  <si>
    <t>David</t>
  </si>
  <si>
    <t>Category Detail</t>
  </si>
  <si>
    <t>Age</t>
  </si>
  <si>
    <t>Eligibility Criteria</t>
  </si>
  <si>
    <t>Normal</t>
  </si>
  <si>
    <t>High</t>
  </si>
  <si>
    <t>Critical</t>
  </si>
  <si>
    <t>Years of Service</t>
  </si>
  <si>
    <t>Service Category</t>
  </si>
  <si>
    <t>Junior</t>
  </si>
  <si>
    <t>Intermediate</t>
  </si>
  <si>
    <t>Senior</t>
  </si>
  <si>
    <t>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</si>
</sst>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/>
    <xf numFmtId="0" fontId="0" fillId="0" borderId="3" xfId="0" applyBorder="1"/>
    <xf numFmtId="0" fontId="1" fillId="0" borderId="2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/>
    <xf numFmtId="0" fontId="0" fillId="0" borderId="1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6" xfId="0" applyFont="1" applyBorder="1"/>
    <xf numFmtId="0" fontId="0" fillId="0" borderId="7" xfId="0" applyBorder="1"/>
    <xf numFmtId="0" fontId="1" fillId="0" borderId="6" xfId="0" applyFont="1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24A7-DB5B-4C7B-8E29-3176D7B16F57}">
  <dimension ref="A1:K29"/>
  <sheetViews>
    <sheetView tabSelected="1" topLeftCell="A6" workbookViewId="0">
      <selection activeCell="H18" sqref="H18"/>
    </sheetView>
  </sheetViews>
  <sheetFormatPr defaultRowHeight="14.4" x14ac:dyDescent="0.3"/>
  <cols>
    <col min="1" max="2" width="14.5546875" customWidth="1"/>
    <col min="3" max="3" width="18.109375" customWidth="1"/>
    <col min="4" max="4" width="15.109375" customWidth="1"/>
    <col min="7" max="8" width="22.109375" customWidth="1"/>
    <col min="10" max="11" width="22.109375" customWidth="1"/>
  </cols>
  <sheetData>
    <row r="1" spans="1:11" ht="15" thickBot="1" x14ac:dyDescent="0.35">
      <c r="A1" s="3" t="s">
        <v>0</v>
      </c>
      <c r="B1" s="9" t="s">
        <v>1</v>
      </c>
      <c r="C1" s="10" t="s">
        <v>8</v>
      </c>
    </row>
    <row r="2" spans="1:11" x14ac:dyDescent="0.3">
      <c r="A2" s="2" t="s">
        <v>2</v>
      </c>
      <c r="B2" s="4" t="s">
        <v>3</v>
      </c>
      <c r="C2" s="7" t="str">
        <f>IF(B2="Resigned","Exclude","Include")</f>
        <v>Include</v>
      </c>
    </row>
    <row r="3" spans="1:11" x14ac:dyDescent="0.3">
      <c r="A3" s="1" t="s">
        <v>4</v>
      </c>
      <c r="B3" s="5" t="s">
        <v>3</v>
      </c>
      <c r="C3" s="6" t="str">
        <f t="shared" ref="C3:C5" si="0">IF(B3="Resigned","Exclude","Include")</f>
        <v>Include</v>
      </c>
    </row>
    <row r="4" spans="1:11" x14ac:dyDescent="0.3">
      <c r="A4" s="1" t="s">
        <v>5</v>
      </c>
      <c r="B4" s="5" t="s">
        <v>6</v>
      </c>
      <c r="C4" s="6" t="str">
        <f t="shared" si="0"/>
        <v>Exclude</v>
      </c>
    </row>
    <row r="5" spans="1:11" x14ac:dyDescent="0.3">
      <c r="A5" s="1" t="s">
        <v>7</v>
      </c>
      <c r="B5" s="5" t="s">
        <v>3</v>
      </c>
      <c r="C5" s="6" t="str">
        <f t="shared" si="0"/>
        <v>Include</v>
      </c>
    </row>
    <row r="7" spans="1:11" ht="15" thickBot="1" x14ac:dyDescent="0.35"/>
    <row r="8" spans="1:11" ht="29.4" thickBot="1" x14ac:dyDescent="0.35">
      <c r="A8" s="3" t="s">
        <v>0</v>
      </c>
      <c r="B8" s="13" t="s">
        <v>9</v>
      </c>
      <c r="C8" s="14" t="s">
        <v>8</v>
      </c>
      <c r="D8" s="8" t="s">
        <v>11</v>
      </c>
      <c r="G8" s="3" t="s">
        <v>0</v>
      </c>
      <c r="H8" s="14" t="s">
        <v>8</v>
      </c>
      <c r="J8" s="3" t="s">
        <v>0</v>
      </c>
      <c r="K8" s="8" t="s">
        <v>11</v>
      </c>
    </row>
    <row r="9" spans="1:11" x14ac:dyDescent="0.3">
      <c r="A9" s="2" t="s">
        <v>2</v>
      </c>
      <c r="B9" s="12">
        <v>12</v>
      </c>
      <c r="C9" s="15" t="str">
        <f>IF(B9&gt;40, "High","Normal")</f>
        <v>Normal</v>
      </c>
      <c r="D9" s="7" t="str">
        <f>IF(B9&gt;50,"Critical",IF(B9&gt;40,"High","Normal"))</f>
        <v>Normal</v>
      </c>
      <c r="G9" s="2" t="s">
        <v>2</v>
      </c>
      <c r="H9" s="15" t="s">
        <v>14</v>
      </c>
      <c r="J9" s="2" t="s">
        <v>2</v>
      </c>
      <c r="K9" s="7" t="s">
        <v>14</v>
      </c>
    </row>
    <row r="10" spans="1:11" x14ac:dyDescent="0.3">
      <c r="A10" s="1" t="s">
        <v>4</v>
      </c>
      <c r="B10" s="11">
        <v>45</v>
      </c>
      <c r="C10" s="15" t="str">
        <f t="shared" ref="C10:C13" si="1">IF(B10&gt;40, "High","Normal")</f>
        <v>High</v>
      </c>
      <c r="D10" s="6" t="str">
        <f t="shared" ref="D10:D13" si="2">IF(B10&gt;50,"Critical",IF(B10&gt;40,"High","Normal"))</f>
        <v>High</v>
      </c>
      <c r="G10" s="1" t="s">
        <v>4</v>
      </c>
      <c r="H10" s="15" t="s">
        <v>15</v>
      </c>
      <c r="J10" s="1" t="s">
        <v>4</v>
      </c>
      <c r="K10" s="6" t="s">
        <v>15</v>
      </c>
    </row>
    <row r="11" spans="1:11" x14ac:dyDescent="0.3">
      <c r="A11" s="1" t="s">
        <v>5</v>
      </c>
      <c r="B11" s="11">
        <v>38</v>
      </c>
      <c r="C11" s="15" t="str">
        <f t="shared" si="1"/>
        <v>Normal</v>
      </c>
      <c r="D11" s="6" t="str">
        <f t="shared" si="2"/>
        <v>Normal</v>
      </c>
      <c r="G11" s="1" t="s">
        <v>5</v>
      </c>
      <c r="H11" s="15" t="s">
        <v>14</v>
      </c>
      <c r="J11" s="1" t="s">
        <v>5</v>
      </c>
      <c r="K11" s="6" t="s">
        <v>14</v>
      </c>
    </row>
    <row r="12" spans="1:11" x14ac:dyDescent="0.3">
      <c r="A12" s="1" t="s">
        <v>7</v>
      </c>
      <c r="B12" s="11">
        <v>60</v>
      </c>
      <c r="C12" s="15" t="str">
        <f t="shared" si="1"/>
        <v>High</v>
      </c>
      <c r="D12" s="6" t="str">
        <f t="shared" si="2"/>
        <v>Critical</v>
      </c>
      <c r="G12" s="1" t="s">
        <v>7</v>
      </c>
      <c r="H12" s="15" t="s">
        <v>15</v>
      </c>
      <c r="J12" s="1" t="s">
        <v>7</v>
      </c>
      <c r="K12" s="6" t="s">
        <v>16</v>
      </c>
    </row>
    <row r="13" spans="1:11" x14ac:dyDescent="0.3">
      <c r="A13" s="1" t="s">
        <v>10</v>
      </c>
      <c r="B13" s="11">
        <v>20</v>
      </c>
      <c r="C13" s="15" t="str">
        <f t="shared" si="1"/>
        <v>Normal</v>
      </c>
      <c r="D13" s="6" t="str">
        <f t="shared" si="2"/>
        <v>Normal</v>
      </c>
      <c r="G13" s="1" t="s">
        <v>10</v>
      </c>
      <c r="H13" s="15" t="s">
        <v>14</v>
      </c>
      <c r="J13" s="1" t="s">
        <v>10</v>
      </c>
      <c r="K13" s="6" t="s">
        <v>14</v>
      </c>
    </row>
    <row r="15" spans="1:11" ht="15" thickBot="1" x14ac:dyDescent="0.35"/>
    <row r="16" spans="1:11" ht="15" thickBot="1" x14ac:dyDescent="0.35">
      <c r="A16" s="3" t="s">
        <v>0</v>
      </c>
      <c r="B16" s="16" t="s">
        <v>12</v>
      </c>
      <c r="C16" s="8" t="s">
        <v>13</v>
      </c>
    </row>
    <row r="17" spans="1:8" x14ac:dyDescent="0.3">
      <c r="A17" s="2" t="s">
        <v>2</v>
      </c>
      <c r="B17" s="17">
        <v>24</v>
      </c>
      <c r="C17" s="7" t="str">
        <f>IF(B17&gt;=18, "Eligible","Not Eligible")</f>
        <v>Eligible</v>
      </c>
    </row>
    <row r="18" spans="1:8" x14ac:dyDescent="0.3">
      <c r="A18" s="1" t="s">
        <v>4</v>
      </c>
      <c r="B18" s="18">
        <v>30</v>
      </c>
      <c r="C18" s="7" t="str">
        <f t="shared" ref="C18:C21" si="3">IF(B18&gt;=18, "Eligible","Not Eligible")</f>
        <v>Eligible</v>
      </c>
    </row>
    <row r="19" spans="1:8" x14ac:dyDescent="0.3">
      <c r="A19" s="1" t="s">
        <v>5</v>
      </c>
      <c r="B19" s="18">
        <v>17</v>
      </c>
      <c r="C19" s="7" t="str">
        <f t="shared" si="3"/>
        <v>Not Eligible</v>
      </c>
    </row>
    <row r="20" spans="1:8" x14ac:dyDescent="0.3">
      <c r="A20" s="1" t="s">
        <v>7</v>
      </c>
      <c r="B20" s="18">
        <v>41</v>
      </c>
      <c r="C20" s="7" t="str">
        <f t="shared" si="3"/>
        <v>Eligible</v>
      </c>
    </row>
    <row r="21" spans="1:8" x14ac:dyDescent="0.3">
      <c r="A21" s="1" t="s">
        <v>10</v>
      </c>
      <c r="B21" s="18">
        <v>19</v>
      </c>
      <c r="C21" s="7" t="str">
        <f t="shared" si="3"/>
        <v>Eligible</v>
      </c>
    </row>
    <row r="23" spans="1:8" ht="15" thickBot="1" x14ac:dyDescent="0.35"/>
    <row r="24" spans="1:8" ht="15" thickBot="1" x14ac:dyDescent="0.35">
      <c r="A24" s="3" t="s">
        <v>0</v>
      </c>
      <c r="B24" s="13" t="s">
        <v>17</v>
      </c>
      <c r="C24" s="10" t="s">
        <v>18</v>
      </c>
      <c r="G24" s="3" t="s">
        <v>0</v>
      </c>
      <c r="H24" s="10" t="s">
        <v>18</v>
      </c>
    </row>
    <row r="25" spans="1:8" x14ac:dyDescent="0.3">
      <c r="A25" s="2" t="s">
        <v>2</v>
      </c>
      <c r="B25" s="12">
        <v>1</v>
      </c>
      <c r="C25" s="7" t="str">
        <f>IF(AND(B25&gt;=0,B25&lt;=2), "Junior", IF(AND(B25&gt;=3,B25&lt;=5),"Intermediate", IF(AND(B25&gt;=6,B25&lt;=10),"Senior","Expert")))</f>
        <v>Junior</v>
      </c>
      <c r="G25" s="2" t="s">
        <v>2</v>
      </c>
      <c r="H25" s="7" t="s">
        <v>19</v>
      </c>
    </row>
    <row r="26" spans="1:8" x14ac:dyDescent="0.3">
      <c r="A26" s="1" t="s">
        <v>4</v>
      </c>
      <c r="B26" s="11">
        <v>4</v>
      </c>
      <c r="C26" s="7" t="str">
        <f t="shared" ref="C26:C29" si="4">IF(AND(B26&gt;=0,B26&lt;=2), "Junior", IF(AND(B26&gt;=3,B26&lt;=5),"Intermediate", IF(AND(B26&gt;=6,B26&lt;=10),"Senior","Expert")))</f>
        <v>Intermediate</v>
      </c>
      <c r="G26" s="1" t="s">
        <v>4</v>
      </c>
      <c r="H26" s="7" t="s">
        <v>20</v>
      </c>
    </row>
    <row r="27" spans="1:8" x14ac:dyDescent="0.3">
      <c r="A27" s="1" t="s">
        <v>5</v>
      </c>
      <c r="B27" s="11">
        <v>8</v>
      </c>
      <c r="C27" s="7" t="str">
        <f t="shared" si="4"/>
        <v>Senior</v>
      </c>
      <c r="G27" s="1" t="s">
        <v>5</v>
      </c>
      <c r="H27" s="7" t="s">
        <v>21</v>
      </c>
    </row>
    <row r="28" spans="1:8" x14ac:dyDescent="0.3">
      <c r="A28" s="1" t="s">
        <v>7</v>
      </c>
      <c r="B28" s="11">
        <v>12</v>
      </c>
      <c r="C28" s="7" t="str">
        <f t="shared" si="4"/>
        <v>Expert</v>
      </c>
      <c r="G28" s="1" t="s">
        <v>7</v>
      </c>
      <c r="H28" s="7" t="s">
        <v>22</v>
      </c>
    </row>
    <row r="29" spans="1:8" x14ac:dyDescent="0.3">
      <c r="A29" s="1" t="s">
        <v>10</v>
      </c>
      <c r="B29" s="11">
        <v>16</v>
      </c>
      <c r="C29" s="7" t="str">
        <f t="shared" si="4"/>
        <v>Expert</v>
      </c>
      <c r="G29" s="1" t="s">
        <v>10</v>
      </c>
      <c r="H29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Fiqhan Firdaus</dc:creator>
  <cp:lastModifiedBy>Fiqhan Firdaus</cp:lastModifiedBy>
  <dcterms:created xsi:type="dcterms:W3CDTF">2026-06-19T12:24:45Z</dcterms:created>
  <dcterms:modified xsi:type="dcterms:W3CDTF">2026-06-19T13:17:21Z</dcterms:modified>
</cp:coreProperties>
</file>