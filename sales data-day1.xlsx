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 ANALYS LEARNING\"/>
    </mc:Choice>
  </mc:AlternateContent>
  <xr:revisionPtr revIDLastSave="0" documentId="8_{3FC4FA3E-B720-4482-867E-F862E313D3CE}" xr6:coauthVersionLast="47" xr6:coauthVersionMax="47" xr10:uidLastSave="{00000000-0000-0000-0000-000000000000}"/>
  <bookViews>
    <workbookView xWindow="-108" yWindow="-108" windowWidth="23256" windowHeight="12456" xr2:uid="{78928512-3FE0-46AE-9D0A-073FA214E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5" i="1"/>
  <c r="F14" i="1"/>
  <c r="F13" i="1"/>
  <c r="F12" i="1"/>
  <c r="F10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<sst xmlns="http://schemas.openxmlformats.org/spreadsheetml/2006/main" count="32" uniqueCount="22">
  <si>
    <t>Date</t>
  </si>
  <si>
    <t>Product</t>
  </si>
  <si>
    <t>Category</t>
  </si>
  <si>
    <t>Quantity</t>
  </si>
  <si>
    <t>Price</t>
  </si>
  <si>
    <t>Keyboard</t>
  </si>
  <si>
    <t>Electronics</t>
  </si>
  <si>
    <t>Mouse</t>
  </si>
  <si>
    <t>Notebook</t>
  </si>
  <si>
    <t>Stationery</t>
  </si>
  <si>
    <t>Pen</t>
  </si>
  <si>
    <t>SUM</t>
  </si>
  <si>
    <t>AVERAGE</t>
  </si>
  <si>
    <t>COUNTIF 'ELECTRONICS'</t>
  </si>
  <si>
    <t>COUNTIF 'Stationery'</t>
  </si>
  <si>
    <t>SUMIF 'Electronics</t>
  </si>
  <si>
    <t>SUMIF 'Stationery'</t>
  </si>
  <si>
    <t>Which product generated the highest revenue?</t>
  </si>
  <si>
    <t>Which category sold the most units?</t>
  </si>
  <si>
    <t>Which category generated the most revenue?</t>
  </si>
  <si>
    <t>If you were the manager, what would you focus on selling?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</si>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</sst>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9" fontId="0" fillId="0" borderId="2" xfId="1" applyNumberFormat="1" applyFont="1" applyBorder="1" applyAlignment="1">
      <alignment vertical="center" wrapText="1"/>
    </xf>
    <xf numFmtId="169" fontId="0" fillId="0" borderId="0" xfId="1" applyNumberFormat="1" applyFont="1"/>
    <xf numFmtId="169" fontId="0" fillId="0" borderId="1" xfId="1" applyNumberFormat="1" applyFont="1" applyBorder="1" applyAlignment="1">
      <alignment vertical="center" wrapText="1"/>
    </xf>
    <xf numFmtId="169" fontId="0" fillId="0" borderId="0" xfId="0" applyNumberForma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8DEF-2296-43BB-8342-2762A446A046}">
  <dimension ref="A1:R19"/>
  <sheetViews>
    <sheetView tabSelected="1" workbookViewId="0">
      <selection activeCell="F17" sqref="F17"/>
    </sheetView>
  </sheetViews>
  <sheetFormatPr defaultRowHeight="14.4" x14ac:dyDescent="0.3"/>
  <cols>
    <col min="2" max="4" width="17.88671875" customWidth="1"/>
    <col min="5" max="5" width="54.33203125" customWidth="1"/>
    <col min="6" max="6" width="17.88671875" customWidth="1"/>
  </cols>
  <sheetData>
    <row r="1" spans="1:18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21</v>
      </c>
    </row>
    <row r="2" spans="1:18" x14ac:dyDescent="0.3">
      <c r="A2" s="3">
        <v>46174</v>
      </c>
      <c r="B2" s="4" t="s">
        <v>5</v>
      </c>
      <c r="C2" s="4" t="s">
        <v>6</v>
      </c>
      <c r="D2" s="4">
        <v>2</v>
      </c>
      <c r="E2" s="9">
        <v>250000</v>
      </c>
      <c r="F2" s="10">
        <f>D2*E2</f>
        <v>500000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x14ac:dyDescent="0.3">
      <c r="A3" s="1">
        <v>46174</v>
      </c>
      <c r="B3" s="2" t="s">
        <v>7</v>
      </c>
      <c r="C3" s="2" t="s">
        <v>6</v>
      </c>
      <c r="D3" s="2">
        <v>3</v>
      </c>
      <c r="E3" s="11">
        <v>100000</v>
      </c>
      <c r="F3" s="10">
        <f t="shared" ref="F3:F9" si="0">D3*E3</f>
        <v>300000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x14ac:dyDescent="0.3">
      <c r="A4" s="1">
        <v>46175</v>
      </c>
      <c r="B4" s="2" t="s">
        <v>8</v>
      </c>
      <c r="C4" s="2" t="s">
        <v>9</v>
      </c>
      <c r="D4" s="2">
        <v>5</v>
      </c>
      <c r="E4" s="11">
        <v>20000</v>
      </c>
      <c r="F4" s="10">
        <f t="shared" si="0"/>
        <v>100000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x14ac:dyDescent="0.3">
      <c r="A5" s="1">
        <v>46175</v>
      </c>
      <c r="B5" s="2" t="s">
        <v>10</v>
      </c>
      <c r="C5" s="2" t="s">
        <v>9</v>
      </c>
      <c r="D5" s="2">
        <v>10</v>
      </c>
      <c r="E5" s="11">
        <v>5000</v>
      </c>
      <c r="F5" s="10">
        <f t="shared" si="0"/>
        <v>50000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x14ac:dyDescent="0.3">
      <c r="A6" s="1">
        <v>46176</v>
      </c>
      <c r="B6" s="2" t="s">
        <v>5</v>
      </c>
      <c r="C6" s="2" t="s">
        <v>6</v>
      </c>
      <c r="D6" s="2">
        <v>1</v>
      </c>
      <c r="E6" s="11">
        <v>250000</v>
      </c>
      <c r="F6" s="10">
        <f t="shared" si="0"/>
        <v>250000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x14ac:dyDescent="0.3">
      <c r="A7" s="1">
        <v>46176</v>
      </c>
      <c r="B7" s="2" t="s">
        <v>8</v>
      </c>
      <c r="C7" s="2" t="s">
        <v>9</v>
      </c>
      <c r="D7" s="2">
        <v>8</v>
      </c>
      <c r="E7" s="11">
        <v>20000</v>
      </c>
      <c r="F7" s="10">
        <f t="shared" si="0"/>
        <v>160000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x14ac:dyDescent="0.3">
      <c r="A8" s="1">
        <v>46177</v>
      </c>
      <c r="B8" s="2" t="s">
        <v>7</v>
      </c>
      <c r="C8" s="2" t="s">
        <v>6</v>
      </c>
      <c r="D8" s="2">
        <v>2</v>
      </c>
      <c r="E8" s="11">
        <v>100000</v>
      </c>
      <c r="F8" s="10">
        <f t="shared" si="0"/>
        <v>200000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x14ac:dyDescent="0.3">
      <c r="A9" s="1">
        <v>46177</v>
      </c>
      <c r="B9" s="2" t="s">
        <v>10</v>
      </c>
      <c r="C9" s="2" t="s">
        <v>9</v>
      </c>
      <c r="D9" s="2">
        <v>12</v>
      </c>
      <c r="E9" s="11">
        <v>5000</v>
      </c>
      <c r="F9" s="10">
        <f t="shared" si="0"/>
        <v>60000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x14ac:dyDescent="0.3">
      <c r="E10" t="s">
        <v>11</v>
      </c>
      <c r="F10" s="12">
        <f>SUM(F2:F9)</f>
        <v>1620000</v>
      </c>
    </row>
    <row r="11" spans="1:18" x14ac:dyDescent="0.3">
      <c r="E11" t="s">
        <v>12</v>
      </c>
      <c r="F11" s="12">
        <f>AVERAGE(D2:D9)</f>
        <v>5.375</v>
      </c>
    </row>
    <row r="12" spans="1:18" x14ac:dyDescent="0.3">
      <c r="E12" t="s">
        <v>13</v>
      </c>
      <c r="F12" s="13">
        <f>COUNTIF(C2:C9, "Electronics")</f>
        <v>4</v>
      </c>
    </row>
    <row r="13" spans="1:18" x14ac:dyDescent="0.3">
      <c r="E13" t="s">
        <v>14</v>
      </c>
      <c r="F13">
        <f>COUNTIF(C2:C9, "Stationery")</f>
        <v>4</v>
      </c>
    </row>
    <row r="14" spans="1:18" x14ac:dyDescent="0.3">
      <c r="E14" t="s">
        <v>15</v>
      </c>
      <c r="F14">
        <f>SUMIF(C2:C9, "Electronics", F2:F9)</f>
        <v>1250000</v>
      </c>
    </row>
    <row r="15" spans="1:18" x14ac:dyDescent="0.3">
      <c r="E15" t="s">
        <v>16</v>
      </c>
      <c r="F15">
        <f>SUMIF(C2:C9, "Stationery", F2:F9)</f>
        <v>370000</v>
      </c>
    </row>
    <row r="16" spans="1:18" x14ac:dyDescent="0.3">
      <c r="E16" t="s">
        <v>17</v>
      </c>
      <c r="F16" s="12"/>
    </row>
    <row r="17" spans="5:5" x14ac:dyDescent="0.3">
      <c r="E17" t="s">
        <v>18</v>
      </c>
    </row>
    <row r="18" spans="5:5" x14ac:dyDescent="0.3">
      <c r="E18" t="s">
        <v>19</v>
      </c>
    </row>
    <row r="19" spans="5:5" x14ac:dyDescent="0.3">
      <c r="E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Fiqhan Firdaus</dc:creator>
  <cp:lastModifiedBy>Fiqhan Firdaus</cp:lastModifiedBy>
  <dcterms:created xsi:type="dcterms:W3CDTF">2026-06-15T04:23:56Z</dcterms:created>
  <dcterms:modified xsi:type="dcterms:W3CDTF">2026-06-15T04:50:06Z</dcterms:modified>
</cp:coreProperties>
</file>